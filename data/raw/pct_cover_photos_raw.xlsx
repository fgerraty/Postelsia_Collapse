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Volumes/GERRATY/Postelsia_Collapse/data/raw/"/>
    </mc:Choice>
  </mc:AlternateContent>
  <xr:revisionPtr revIDLastSave="0" documentId="8_{54766F48-40C2-8F4E-8EBF-0D5C55EE0C75}" xr6:coauthVersionLast="47" xr6:coauthVersionMax="47" xr10:uidLastSave="{00000000-0000-0000-0000-000000000000}"/>
  <bookViews>
    <workbookView xWindow="0" yWindow="1520" windowWidth="28800" windowHeight="15260" xr2:uid="{F659D0C1-8ECB-4B0E-9F1C-FC99281C96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2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3" i="1"/>
  <c r="H4" i="1"/>
  <c r="H5" i="1"/>
  <c r="H6" i="1"/>
  <c r="H7" i="1"/>
  <c r="H8" i="1"/>
  <c r="H2" i="1"/>
</calcChain>
</file>

<file path=xl/sharedStrings.xml><?xml version="1.0" encoding="utf-8"?>
<sst xmlns="http://schemas.openxmlformats.org/spreadsheetml/2006/main" count="186" uniqueCount="21">
  <si>
    <t>pan</t>
  </si>
  <si>
    <t>year</t>
  </si>
  <si>
    <t>total</t>
  </si>
  <si>
    <t>postelsia</t>
  </si>
  <si>
    <t>mussel</t>
  </si>
  <si>
    <t>% postelsia</t>
  </si>
  <si>
    <t>%mussel</t>
  </si>
  <si>
    <t>a</t>
  </si>
  <si>
    <t>b</t>
  </si>
  <si>
    <t>marine_site_name</t>
  </si>
  <si>
    <t>site_code</t>
  </si>
  <si>
    <t>Shelter Cove</t>
  </si>
  <si>
    <t>SHT</t>
  </si>
  <si>
    <t>Sea Ranch</t>
  </si>
  <si>
    <t>SEA</t>
  </si>
  <si>
    <t>Bodega</t>
  </si>
  <si>
    <t>BML</t>
  </si>
  <si>
    <t>Scott Creek</t>
  </si>
  <si>
    <t>SCT</t>
  </si>
  <si>
    <t>Point Sierra Nevada</t>
  </si>
  <si>
    <t>PSN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</si>
</sst>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0D5F7-3F63-45EF-B87F-42E0CF8FFB6D}">
  <dimension ref="A1:I60"/>
  <sheetViews>
    <sheetView tabSelected="1" topLeftCell="A48" workbookViewId="0">
      <selection activeCell="K31" sqref="K31"/>
    </sheetView>
  </sheetViews>
  <sheetFormatPr baseColWidth="10" defaultColWidth="8.83203125" defaultRowHeight="15" x14ac:dyDescent="0.2"/>
  <cols>
    <col min="1" max="2" width="27" customWidth="1"/>
  </cols>
  <sheetData>
    <row r="1" spans="1:9" x14ac:dyDescent="0.2">
      <c r="A1" t="s">
        <v>9</v>
      </c>
      <c r="B1" t="s">
        <v>10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">
      <c r="A2" t="s">
        <v>11</v>
      </c>
      <c r="B2" t="s">
        <v>12</v>
      </c>
      <c r="C2" t="s">
        <v>7</v>
      </c>
      <c r="D2">
        <v>2013</v>
      </c>
      <c r="E2">
        <v>6935128</v>
      </c>
      <c r="F2">
        <v>2621835</v>
      </c>
      <c r="G2">
        <v>26658</v>
      </c>
      <c r="H2">
        <f>(F2/E2)*100</f>
        <v>37.80514216896934</v>
      </c>
      <c r="I2">
        <f>(G2/E2)*100</f>
        <v>0.38439088651283726</v>
      </c>
    </row>
    <row r="3" spans="1:9" x14ac:dyDescent="0.2">
      <c r="A3" t="s">
        <v>11</v>
      </c>
      <c r="B3" t="s">
        <v>12</v>
      </c>
      <c r="C3" t="s">
        <v>7</v>
      </c>
      <c r="D3">
        <v>2014</v>
      </c>
      <c r="E3">
        <v>1024529</v>
      </c>
      <c r="F3">
        <v>365409</v>
      </c>
      <c r="G3">
        <v>0</v>
      </c>
      <c r="H3">
        <f t="shared" ref="H3:H9" si="0">(F3/E3)*100</f>
        <v>35.666047520372778</v>
      </c>
      <c r="I3">
        <f t="shared" ref="I3:I60" si="1">(G3/E3)*100</f>
        <v>0</v>
      </c>
    </row>
    <row r="4" spans="1:9" x14ac:dyDescent="0.2">
      <c r="A4" t="s">
        <v>11</v>
      </c>
      <c r="B4" t="s">
        <v>12</v>
      </c>
      <c r="C4" t="s">
        <v>7</v>
      </c>
      <c r="D4">
        <v>2014</v>
      </c>
      <c r="E4">
        <v>30.93</v>
      </c>
      <c r="F4">
        <v>11.273</v>
      </c>
      <c r="G4">
        <v>0</v>
      </c>
      <c r="H4">
        <f t="shared" si="0"/>
        <v>36.446815389589396</v>
      </c>
      <c r="I4">
        <f t="shared" si="1"/>
        <v>0</v>
      </c>
    </row>
    <row r="5" spans="1:9" x14ac:dyDescent="0.2">
      <c r="A5" t="s">
        <v>11</v>
      </c>
      <c r="B5" t="s">
        <v>12</v>
      </c>
      <c r="C5" t="s">
        <v>7</v>
      </c>
      <c r="D5">
        <v>2015</v>
      </c>
      <c r="E5">
        <v>31.36</v>
      </c>
      <c r="F5">
        <v>11.97</v>
      </c>
      <c r="G5">
        <v>3.105</v>
      </c>
      <c r="H5">
        <f t="shared" si="0"/>
        <v>38.169642857142861</v>
      </c>
      <c r="I5">
        <f t="shared" si="1"/>
        <v>9.9011479591836729</v>
      </c>
    </row>
    <row r="6" spans="1:9" x14ac:dyDescent="0.2">
      <c r="A6" t="s">
        <v>11</v>
      </c>
      <c r="B6" t="s">
        <v>12</v>
      </c>
      <c r="C6" t="s">
        <v>7</v>
      </c>
      <c r="D6">
        <v>2016</v>
      </c>
      <c r="E6">
        <v>29.361000000000001</v>
      </c>
      <c r="F6">
        <v>8.27</v>
      </c>
      <c r="G6">
        <v>15.72</v>
      </c>
      <c r="H6">
        <f t="shared" si="0"/>
        <v>28.166615578488468</v>
      </c>
      <c r="I6">
        <f t="shared" si="1"/>
        <v>53.540410748952695</v>
      </c>
    </row>
    <row r="7" spans="1:9" x14ac:dyDescent="0.2">
      <c r="A7" t="s">
        <v>11</v>
      </c>
      <c r="B7" t="s">
        <v>12</v>
      </c>
      <c r="C7" t="s">
        <v>7</v>
      </c>
      <c r="D7">
        <v>2018</v>
      </c>
      <c r="E7">
        <v>21.91</v>
      </c>
      <c r="F7">
        <v>6.09</v>
      </c>
      <c r="G7">
        <v>14.95</v>
      </c>
      <c r="H7">
        <f t="shared" si="0"/>
        <v>27.795527156549522</v>
      </c>
      <c r="I7">
        <f t="shared" si="1"/>
        <v>68.233683249657687</v>
      </c>
    </row>
    <row r="8" spans="1:9" x14ac:dyDescent="0.2">
      <c r="A8" t="s">
        <v>11</v>
      </c>
      <c r="B8" t="s">
        <v>12</v>
      </c>
      <c r="C8" t="s">
        <v>7</v>
      </c>
      <c r="D8">
        <v>2019</v>
      </c>
      <c r="E8">
        <v>1737298</v>
      </c>
      <c r="F8">
        <v>125023</v>
      </c>
      <c r="G8">
        <v>1567126</v>
      </c>
      <c r="H8">
        <f t="shared" si="0"/>
        <v>7.1964049921199464</v>
      </c>
      <c r="I8">
        <f t="shared" si="1"/>
        <v>90.204789276220893</v>
      </c>
    </row>
    <row r="9" spans="1:9" x14ac:dyDescent="0.2">
      <c r="A9" t="s">
        <v>11</v>
      </c>
      <c r="B9" t="s">
        <v>12</v>
      </c>
      <c r="C9" t="s">
        <v>7</v>
      </c>
      <c r="D9">
        <v>2021</v>
      </c>
      <c r="E9" s="1">
        <v>4687614</v>
      </c>
      <c r="F9">
        <v>389097</v>
      </c>
      <c r="G9">
        <v>3967419</v>
      </c>
      <c r="H9">
        <f t="shared" si="0"/>
        <v>8.3005341310099325</v>
      </c>
      <c r="I9">
        <f t="shared" si="1"/>
        <v>84.636213647284094</v>
      </c>
    </row>
    <row r="10" spans="1:9" x14ac:dyDescent="0.2">
      <c r="A10" t="s">
        <v>11</v>
      </c>
      <c r="B10" t="s">
        <v>12</v>
      </c>
      <c r="C10" t="s">
        <v>8</v>
      </c>
      <c r="D10">
        <v>2013</v>
      </c>
      <c r="E10">
        <v>2987493</v>
      </c>
      <c r="F10">
        <v>2158360</v>
      </c>
      <c r="G10">
        <v>16563</v>
      </c>
      <c r="H10">
        <f t="shared" ref="H10:H60" si="2">(F10/E10)*100</f>
        <v>72.246529113206293</v>
      </c>
      <c r="I10">
        <f t="shared" si="1"/>
        <v>0.55441134088012933</v>
      </c>
    </row>
    <row r="11" spans="1:9" x14ac:dyDescent="0.2">
      <c r="A11" t="s">
        <v>11</v>
      </c>
      <c r="B11" t="s">
        <v>12</v>
      </c>
      <c r="C11" t="s">
        <v>8</v>
      </c>
      <c r="D11">
        <v>2014</v>
      </c>
      <c r="E11">
        <v>685883</v>
      </c>
      <c r="F11">
        <v>491026</v>
      </c>
      <c r="G11">
        <v>0</v>
      </c>
      <c r="H11">
        <f t="shared" si="2"/>
        <v>71.590344125747393</v>
      </c>
      <c r="I11">
        <f t="shared" si="1"/>
        <v>0</v>
      </c>
    </row>
    <row r="12" spans="1:9" x14ac:dyDescent="0.2">
      <c r="A12" t="s">
        <v>11</v>
      </c>
      <c r="B12" t="s">
        <v>12</v>
      </c>
      <c r="C12" t="s">
        <v>8</v>
      </c>
      <c r="D12">
        <v>2014</v>
      </c>
      <c r="E12">
        <v>24</v>
      </c>
      <c r="F12">
        <v>17.190000000000001</v>
      </c>
      <c r="G12">
        <v>0</v>
      </c>
      <c r="H12">
        <f t="shared" si="2"/>
        <v>71.625</v>
      </c>
      <c r="I12">
        <f t="shared" si="1"/>
        <v>0</v>
      </c>
    </row>
    <row r="13" spans="1:9" x14ac:dyDescent="0.2">
      <c r="A13" t="s">
        <v>11</v>
      </c>
      <c r="B13" t="s">
        <v>12</v>
      </c>
      <c r="C13" t="s">
        <v>8</v>
      </c>
      <c r="D13">
        <v>2015</v>
      </c>
      <c r="E13">
        <v>18.48</v>
      </c>
      <c r="F13">
        <v>1.43</v>
      </c>
      <c r="G13">
        <v>0</v>
      </c>
      <c r="H13">
        <f t="shared" si="2"/>
        <v>7.7380952380952372</v>
      </c>
      <c r="I13">
        <f t="shared" si="1"/>
        <v>0</v>
      </c>
    </row>
    <row r="14" spans="1:9" x14ac:dyDescent="0.2">
      <c r="A14" t="s">
        <v>11</v>
      </c>
      <c r="B14" t="s">
        <v>12</v>
      </c>
      <c r="C14" t="s">
        <v>8</v>
      </c>
      <c r="D14">
        <v>2016</v>
      </c>
      <c r="E14">
        <v>23.04</v>
      </c>
      <c r="F14">
        <v>0.49399999999999999</v>
      </c>
      <c r="G14">
        <v>19.260000000000002</v>
      </c>
      <c r="H14">
        <f t="shared" si="2"/>
        <v>2.1440972222222223</v>
      </c>
      <c r="I14">
        <f t="shared" si="1"/>
        <v>83.593750000000014</v>
      </c>
    </row>
    <row r="15" spans="1:9" x14ac:dyDescent="0.2">
      <c r="A15" t="s">
        <v>11</v>
      </c>
      <c r="B15" t="s">
        <v>12</v>
      </c>
      <c r="C15" t="s">
        <v>8</v>
      </c>
      <c r="D15">
        <v>2018</v>
      </c>
      <c r="E15">
        <v>18.669</v>
      </c>
      <c r="F15">
        <v>0</v>
      </c>
      <c r="G15">
        <v>17.170000000000002</v>
      </c>
      <c r="H15">
        <f t="shared" si="2"/>
        <v>0</v>
      </c>
      <c r="I15">
        <f t="shared" si="1"/>
        <v>91.970646526327073</v>
      </c>
    </row>
    <row r="16" spans="1:9" x14ac:dyDescent="0.2">
      <c r="A16" t="s">
        <v>11</v>
      </c>
      <c r="B16" t="s">
        <v>12</v>
      </c>
      <c r="C16" t="s">
        <v>8</v>
      </c>
      <c r="D16">
        <v>2019</v>
      </c>
      <c r="E16">
        <v>2054640</v>
      </c>
      <c r="F16">
        <v>0</v>
      </c>
      <c r="G16">
        <v>1999646</v>
      </c>
      <c r="H16">
        <f t="shared" si="2"/>
        <v>0</v>
      </c>
      <c r="I16">
        <f t="shared" si="1"/>
        <v>97.323424054822254</v>
      </c>
    </row>
    <row r="17" spans="1:9" x14ac:dyDescent="0.2">
      <c r="A17" t="s">
        <v>11</v>
      </c>
      <c r="B17" t="s">
        <v>12</v>
      </c>
      <c r="C17" t="s">
        <v>8</v>
      </c>
      <c r="D17">
        <v>2021</v>
      </c>
      <c r="E17" s="1">
        <v>1898840</v>
      </c>
      <c r="F17">
        <v>0</v>
      </c>
      <c r="G17">
        <v>1848389</v>
      </c>
      <c r="H17">
        <f t="shared" si="2"/>
        <v>0</v>
      </c>
      <c r="I17">
        <f t="shared" si="1"/>
        <v>97.343062080006732</v>
      </c>
    </row>
    <row r="18" spans="1:9" x14ac:dyDescent="0.2">
      <c r="A18" t="s">
        <v>13</v>
      </c>
      <c r="B18" t="s">
        <v>14</v>
      </c>
      <c r="C18" t="s">
        <v>7</v>
      </c>
      <c r="D18">
        <v>2012</v>
      </c>
      <c r="E18">
        <v>8769640</v>
      </c>
      <c r="F18">
        <v>4809613</v>
      </c>
      <c r="G18">
        <v>994458</v>
      </c>
      <c r="H18">
        <f t="shared" si="2"/>
        <v>54.843904652870592</v>
      </c>
      <c r="I18">
        <f t="shared" si="1"/>
        <v>11.339781336520085</v>
      </c>
    </row>
    <row r="19" spans="1:9" x14ac:dyDescent="0.2">
      <c r="A19" t="s">
        <v>13</v>
      </c>
      <c r="B19" t="s">
        <v>14</v>
      </c>
      <c r="C19" t="s">
        <v>7</v>
      </c>
      <c r="D19">
        <v>2013</v>
      </c>
      <c r="E19">
        <v>1957512</v>
      </c>
      <c r="F19">
        <v>489334</v>
      </c>
      <c r="G19">
        <v>811525</v>
      </c>
      <c r="H19">
        <f t="shared" si="2"/>
        <v>24.99775224877293</v>
      </c>
      <c r="I19">
        <f t="shared" si="1"/>
        <v>41.45696169423227</v>
      </c>
    </row>
    <row r="20" spans="1:9" x14ac:dyDescent="0.2">
      <c r="A20" t="s">
        <v>13</v>
      </c>
      <c r="B20" t="s">
        <v>14</v>
      </c>
      <c r="C20" t="s">
        <v>7</v>
      </c>
      <c r="D20">
        <v>2014</v>
      </c>
      <c r="E20">
        <v>2158669</v>
      </c>
      <c r="F20">
        <v>554843</v>
      </c>
      <c r="G20">
        <v>888476</v>
      </c>
      <c r="H20">
        <f t="shared" si="2"/>
        <v>25.703014218483705</v>
      </c>
      <c r="I20">
        <f t="shared" si="1"/>
        <v>41.158510174556632</v>
      </c>
    </row>
    <row r="21" spans="1:9" x14ac:dyDescent="0.2">
      <c r="A21" t="s">
        <v>13</v>
      </c>
      <c r="B21" t="s">
        <v>14</v>
      </c>
      <c r="C21" t="s">
        <v>7</v>
      </c>
      <c r="D21">
        <v>2015</v>
      </c>
      <c r="E21">
        <v>1138640</v>
      </c>
      <c r="F21">
        <v>7089</v>
      </c>
      <c r="G21">
        <v>615545</v>
      </c>
      <c r="H21">
        <f t="shared" si="2"/>
        <v>0.62258483805241338</v>
      </c>
      <c r="I21">
        <f t="shared" si="1"/>
        <v>54.059667673716014</v>
      </c>
    </row>
    <row r="22" spans="1:9" x14ac:dyDescent="0.2">
      <c r="A22" t="s">
        <v>13</v>
      </c>
      <c r="B22" t="s">
        <v>14</v>
      </c>
      <c r="C22" t="s">
        <v>7</v>
      </c>
      <c r="D22">
        <v>2017</v>
      </c>
      <c r="E22">
        <v>1115416</v>
      </c>
      <c r="F22">
        <v>11149</v>
      </c>
      <c r="G22">
        <v>609180</v>
      </c>
      <c r="H22">
        <f t="shared" si="2"/>
        <v>0.99953739232716765</v>
      </c>
      <c r="I22">
        <f t="shared" si="1"/>
        <v>54.614601189152744</v>
      </c>
    </row>
    <row r="23" spans="1:9" x14ac:dyDescent="0.2">
      <c r="A23" t="s">
        <v>13</v>
      </c>
      <c r="B23" t="s">
        <v>14</v>
      </c>
      <c r="C23" t="s">
        <v>7</v>
      </c>
      <c r="D23">
        <v>2018</v>
      </c>
      <c r="E23">
        <v>1126334</v>
      </c>
      <c r="F23">
        <v>29499</v>
      </c>
      <c r="G23">
        <v>664850</v>
      </c>
      <c r="H23">
        <f t="shared" si="2"/>
        <v>2.6190277484298621</v>
      </c>
      <c r="I23">
        <f t="shared" si="1"/>
        <v>59.027783943306332</v>
      </c>
    </row>
    <row r="24" spans="1:9" x14ac:dyDescent="0.2">
      <c r="A24" t="s">
        <v>13</v>
      </c>
      <c r="B24" t="s">
        <v>14</v>
      </c>
      <c r="C24" t="s">
        <v>7</v>
      </c>
      <c r="D24">
        <v>2019</v>
      </c>
      <c r="E24">
        <v>4870255</v>
      </c>
      <c r="F24">
        <v>41115</v>
      </c>
      <c r="G24">
        <v>3564955</v>
      </c>
      <c r="H24">
        <f t="shared" si="2"/>
        <v>0.84420630952588716</v>
      </c>
      <c r="I24">
        <f t="shared" si="1"/>
        <v>73.198528619138017</v>
      </c>
    </row>
    <row r="25" spans="1:9" x14ac:dyDescent="0.2">
      <c r="A25" t="s">
        <v>13</v>
      </c>
      <c r="B25" t="s">
        <v>14</v>
      </c>
      <c r="C25" t="s">
        <v>7</v>
      </c>
      <c r="D25">
        <v>2020</v>
      </c>
      <c r="E25">
        <v>4016355</v>
      </c>
      <c r="F25">
        <v>28253</v>
      </c>
      <c r="G25">
        <v>3236303</v>
      </c>
      <c r="H25">
        <f t="shared" si="2"/>
        <v>0.70344877382601889</v>
      </c>
      <c r="I25">
        <f t="shared" si="1"/>
        <v>80.57811124763623</v>
      </c>
    </row>
    <row r="26" spans="1:9" x14ac:dyDescent="0.2">
      <c r="A26" t="s">
        <v>13</v>
      </c>
      <c r="B26" t="s">
        <v>14</v>
      </c>
      <c r="C26" t="s">
        <v>7</v>
      </c>
      <c r="D26">
        <v>2021</v>
      </c>
      <c r="E26">
        <v>2212837</v>
      </c>
      <c r="F26">
        <v>48700</v>
      </c>
      <c r="G26">
        <v>1564507</v>
      </c>
      <c r="H26">
        <f t="shared" si="2"/>
        <v>2.2007947264077741</v>
      </c>
      <c r="I26">
        <f t="shared" si="1"/>
        <v>70.701411807557449</v>
      </c>
    </row>
    <row r="27" spans="1:9" x14ac:dyDescent="0.2">
      <c r="A27" t="s">
        <v>13</v>
      </c>
      <c r="B27" t="s">
        <v>14</v>
      </c>
      <c r="C27" t="s">
        <v>7</v>
      </c>
      <c r="D27">
        <v>2012</v>
      </c>
      <c r="E27">
        <v>6294813</v>
      </c>
      <c r="F27">
        <v>2884673</v>
      </c>
      <c r="G27">
        <v>994458</v>
      </c>
      <c r="H27">
        <f t="shared" si="2"/>
        <v>45.826190547677903</v>
      </c>
      <c r="I27">
        <f t="shared" si="1"/>
        <v>15.798054684070836</v>
      </c>
    </row>
    <row r="28" spans="1:9" x14ac:dyDescent="0.2">
      <c r="A28" t="s">
        <v>13</v>
      </c>
      <c r="B28" t="s">
        <v>14</v>
      </c>
      <c r="C28" t="s">
        <v>7</v>
      </c>
      <c r="D28">
        <v>2013</v>
      </c>
      <c r="E28">
        <v>1343804</v>
      </c>
      <c r="F28">
        <v>285637</v>
      </c>
      <c r="G28">
        <v>621830</v>
      </c>
      <c r="H28">
        <f t="shared" si="2"/>
        <v>21.255852788055403</v>
      </c>
      <c r="I28">
        <f t="shared" si="1"/>
        <v>46.273861366687399</v>
      </c>
    </row>
    <row r="29" spans="1:9" x14ac:dyDescent="0.2">
      <c r="A29" t="s">
        <v>13</v>
      </c>
      <c r="B29" t="s">
        <v>14</v>
      </c>
      <c r="C29" t="s">
        <v>7</v>
      </c>
      <c r="D29">
        <v>2014</v>
      </c>
      <c r="E29">
        <v>1623405</v>
      </c>
      <c r="F29">
        <v>252920</v>
      </c>
      <c r="G29">
        <v>811493</v>
      </c>
      <c r="H29">
        <f t="shared" si="2"/>
        <v>15.579599668597794</v>
      </c>
      <c r="I29">
        <f t="shared" si="1"/>
        <v>49.987095025578952</v>
      </c>
    </row>
    <row r="30" spans="1:9" x14ac:dyDescent="0.2">
      <c r="A30" t="s">
        <v>13</v>
      </c>
      <c r="B30" t="s">
        <v>14</v>
      </c>
      <c r="C30" t="s">
        <v>7</v>
      </c>
      <c r="D30">
        <v>2015</v>
      </c>
      <c r="E30">
        <v>788592</v>
      </c>
      <c r="F30">
        <v>2325</v>
      </c>
      <c r="G30">
        <v>452419</v>
      </c>
      <c r="H30">
        <f>(F30/E30)*100</f>
        <v>0.29482926532351328</v>
      </c>
      <c r="I30">
        <f t="shared" si="1"/>
        <v>57.370478016515513</v>
      </c>
    </row>
    <row r="31" spans="1:9" x14ac:dyDescent="0.2">
      <c r="A31" t="s">
        <v>13</v>
      </c>
      <c r="B31" t="s">
        <v>14</v>
      </c>
      <c r="C31" t="s">
        <v>7</v>
      </c>
      <c r="D31">
        <v>2017</v>
      </c>
      <c r="E31">
        <v>746933</v>
      </c>
      <c r="F31">
        <v>7544</v>
      </c>
      <c r="G31">
        <v>395978</v>
      </c>
      <c r="H31">
        <f t="shared" si="2"/>
        <v>1.0099968805769728</v>
      </c>
      <c r="I31">
        <f t="shared" si="1"/>
        <v>53.013858003328274</v>
      </c>
    </row>
    <row r="32" spans="1:9" x14ac:dyDescent="0.2">
      <c r="A32" t="s">
        <v>13</v>
      </c>
      <c r="B32" t="s">
        <v>14</v>
      </c>
      <c r="C32" t="s">
        <v>7</v>
      </c>
      <c r="D32">
        <v>2018</v>
      </c>
      <c r="E32">
        <v>820510</v>
      </c>
      <c r="F32">
        <v>27245</v>
      </c>
      <c r="G32">
        <v>474700</v>
      </c>
      <c r="H32">
        <f t="shared" si="2"/>
        <v>3.3204957892042755</v>
      </c>
      <c r="I32">
        <f t="shared" si="1"/>
        <v>57.854261374023473</v>
      </c>
    </row>
    <row r="33" spans="1:9" x14ac:dyDescent="0.2">
      <c r="A33" t="s">
        <v>13</v>
      </c>
      <c r="B33" t="s">
        <v>14</v>
      </c>
      <c r="C33" t="s">
        <v>7</v>
      </c>
      <c r="D33">
        <v>2019</v>
      </c>
      <c r="E33">
        <v>3045316</v>
      </c>
      <c r="F33">
        <v>41115</v>
      </c>
      <c r="G33">
        <v>2169405</v>
      </c>
      <c r="H33">
        <f t="shared" si="2"/>
        <v>1.350106195875896</v>
      </c>
      <c r="I33">
        <f t="shared" si="1"/>
        <v>71.237434801511569</v>
      </c>
    </row>
    <row r="34" spans="1:9" x14ac:dyDescent="0.2">
      <c r="A34" t="s">
        <v>13</v>
      </c>
      <c r="B34" t="s">
        <v>14</v>
      </c>
      <c r="C34" t="s">
        <v>7</v>
      </c>
      <c r="D34">
        <v>2021</v>
      </c>
      <c r="E34">
        <v>1354117</v>
      </c>
      <c r="F34">
        <v>0</v>
      </c>
      <c r="G34">
        <v>751014</v>
      </c>
      <c r="H34">
        <f t="shared" si="2"/>
        <v>0</v>
      </c>
      <c r="I34">
        <f t="shared" si="1"/>
        <v>55.461529542868163</v>
      </c>
    </row>
    <row r="35" spans="1:9" x14ac:dyDescent="0.2">
      <c r="A35" t="s">
        <v>15</v>
      </c>
      <c r="B35" t="s">
        <v>16</v>
      </c>
      <c r="C35" t="s">
        <v>7</v>
      </c>
      <c r="D35">
        <v>2012</v>
      </c>
      <c r="E35">
        <v>7166552</v>
      </c>
      <c r="F35">
        <v>2223022</v>
      </c>
      <c r="G35">
        <v>3270156</v>
      </c>
      <c r="H35">
        <f t="shared" si="2"/>
        <v>31.019407938433989</v>
      </c>
      <c r="I35">
        <f t="shared" si="1"/>
        <v>45.630813813951256</v>
      </c>
    </row>
    <row r="36" spans="1:9" x14ac:dyDescent="0.2">
      <c r="A36" t="s">
        <v>15</v>
      </c>
      <c r="B36" t="s">
        <v>16</v>
      </c>
      <c r="C36" t="s">
        <v>7</v>
      </c>
      <c r="D36">
        <v>2013</v>
      </c>
      <c r="E36">
        <v>5.1520000000000001</v>
      </c>
      <c r="F36">
        <v>1.6120000000000001</v>
      </c>
      <c r="G36">
        <v>2.3370000000000002</v>
      </c>
      <c r="H36">
        <f t="shared" si="2"/>
        <v>31.288819875776397</v>
      </c>
      <c r="I36">
        <f t="shared" si="1"/>
        <v>45.361024844720497</v>
      </c>
    </row>
    <row r="37" spans="1:9" x14ac:dyDescent="0.2">
      <c r="A37" t="s">
        <v>15</v>
      </c>
      <c r="B37" t="s">
        <v>16</v>
      </c>
      <c r="C37" t="s">
        <v>7</v>
      </c>
      <c r="D37">
        <v>2014</v>
      </c>
      <c r="E37">
        <v>5.024</v>
      </c>
      <c r="F37">
        <v>2.1080000000000001</v>
      </c>
      <c r="G37">
        <v>1.7410000000000001</v>
      </c>
      <c r="H37">
        <f t="shared" si="2"/>
        <v>41.958598726114651</v>
      </c>
      <c r="I37">
        <f t="shared" si="1"/>
        <v>34.653662420382169</v>
      </c>
    </row>
    <row r="38" spans="1:9" x14ac:dyDescent="0.2">
      <c r="A38" t="s">
        <v>15</v>
      </c>
      <c r="B38" t="s">
        <v>16</v>
      </c>
      <c r="C38" t="s">
        <v>7</v>
      </c>
      <c r="D38">
        <v>2016</v>
      </c>
      <c r="E38">
        <v>5.8179999999999996</v>
      </c>
      <c r="F38">
        <v>0.23200000000000001</v>
      </c>
      <c r="G38">
        <v>4.05</v>
      </c>
      <c r="H38">
        <f t="shared" si="2"/>
        <v>3.9876246132691655</v>
      </c>
      <c r="I38">
        <f t="shared" si="1"/>
        <v>69.611550360948783</v>
      </c>
    </row>
    <row r="39" spans="1:9" x14ac:dyDescent="0.2">
      <c r="A39" t="s">
        <v>15</v>
      </c>
      <c r="B39" t="s">
        <v>16</v>
      </c>
      <c r="C39" t="s">
        <v>7</v>
      </c>
      <c r="D39">
        <v>2017</v>
      </c>
      <c r="E39">
        <v>5.0389999999999997</v>
      </c>
      <c r="F39">
        <v>0.64900000000000002</v>
      </c>
      <c r="G39">
        <v>3.56</v>
      </c>
      <c r="H39">
        <f t="shared" si="2"/>
        <v>12.879539591188729</v>
      </c>
      <c r="I39">
        <f t="shared" si="1"/>
        <v>70.648938281405051</v>
      </c>
    </row>
    <row r="40" spans="1:9" x14ac:dyDescent="0.2">
      <c r="A40" t="s">
        <v>15</v>
      </c>
      <c r="B40" t="s">
        <v>16</v>
      </c>
      <c r="C40" t="s">
        <v>7</v>
      </c>
      <c r="D40">
        <v>2018</v>
      </c>
      <c r="E40">
        <v>4.7949999999999999</v>
      </c>
      <c r="F40">
        <v>0.45400000000000001</v>
      </c>
      <c r="G40">
        <v>3.4329999999999998</v>
      </c>
      <c r="H40">
        <f t="shared" si="2"/>
        <v>9.4681960375391032</v>
      </c>
      <c r="I40">
        <f t="shared" si="1"/>
        <v>71.595411887382681</v>
      </c>
    </row>
    <row r="41" spans="1:9" x14ac:dyDescent="0.2">
      <c r="A41" t="s">
        <v>15</v>
      </c>
      <c r="B41" t="s">
        <v>16</v>
      </c>
      <c r="C41" t="s">
        <v>7</v>
      </c>
      <c r="D41">
        <v>2019</v>
      </c>
      <c r="E41">
        <v>4391603</v>
      </c>
      <c r="F41">
        <v>87522</v>
      </c>
      <c r="G41">
        <v>3337885</v>
      </c>
      <c r="H41">
        <f t="shared" si="2"/>
        <v>1.9929397078925395</v>
      </c>
      <c r="I41">
        <f t="shared" si="1"/>
        <v>76.006073408730259</v>
      </c>
    </row>
    <row r="42" spans="1:9" x14ac:dyDescent="0.2">
      <c r="A42" t="s">
        <v>15</v>
      </c>
      <c r="B42" t="s">
        <v>16</v>
      </c>
      <c r="C42" t="s">
        <v>7</v>
      </c>
      <c r="D42">
        <v>2021</v>
      </c>
      <c r="E42">
        <v>3224195</v>
      </c>
      <c r="F42">
        <v>374134</v>
      </c>
      <c r="G42">
        <v>1620020</v>
      </c>
      <c r="H42">
        <f t="shared" si="2"/>
        <v>11.60395075359896</v>
      </c>
      <c r="I42">
        <f t="shared" si="1"/>
        <v>50.245720249550665</v>
      </c>
    </row>
    <row r="43" spans="1:9" x14ac:dyDescent="0.2">
      <c r="A43" t="s">
        <v>17</v>
      </c>
      <c r="B43" t="s">
        <v>18</v>
      </c>
      <c r="C43" t="s">
        <v>7</v>
      </c>
      <c r="D43">
        <v>2012</v>
      </c>
      <c r="E43">
        <v>1755530</v>
      </c>
      <c r="F43">
        <v>1102628</v>
      </c>
      <c r="G43">
        <v>55800</v>
      </c>
      <c r="H43">
        <f t="shared" si="2"/>
        <v>62.808838356507721</v>
      </c>
      <c r="I43">
        <f t="shared" si="1"/>
        <v>3.1785272823591733</v>
      </c>
    </row>
    <row r="44" spans="1:9" x14ac:dyDescent="0.2">
      <c r="A44" t="s">
        <v>17</v>
      </c>
      <c r="B44" t="s">
        <v>18</v>
      </c>
      <c r="C44" t="s">
        <v>7</v>
      </c>
      <c r="D44">
        <v>2012</v>
      </c>
      <c r="E44">
        <v>2020382</v>
      </c>
      <c r="F44">
        <v>1357102</v>
      </c>
      <c r="G44">
        <v>55758</v>
      </c>
      <c r="H44">
        <f t="shared" si="2"/>
        <v>67.170564774384246</v>
      </c>
      <c r="I44">
        <f t="shared" si="1"/>
        <v>2.7597751316335231</v>
      </c>
    </row>
    <row r="45" spans="1:9" x14ac:dyDescent="0.2">
      <c r="A45" t="s">
        <v>17</v>
      </c>
      <c r="B45" t="s">
        <v>18</v>
      </c>
      <c r="C45" t="s">
        <v>7</v>
      </c>
      <c r="D45">
        <v>2014</v>
      </c>
      <c r="E45">
        <v>2133204</v>
      </c>
      <c r="F45">
        <v>385045</v>
      </c>
      <c r="G45">
        <v>502714</v>
      </c>
      <c r="H45">
        <f t="shared" si="2"/>
        <v>18.050078661018823</v>
      </c>
      <c r="I45">
        <f t="shared" si="1"/>
        <v>23.566147447689016</v>
      </c>
    </row>
    <row r="46" spans="1:9" x14ac:dyDescent="0.2">
      <c r="A46" t="s">
        <v>17</v>
      </c>
      <c r="B46" t="s">
        <v>18</v>
      </c>
      <c r="C46" t="s">
        <v>7</v>
      </c>
      <c r="D46">
        <v>2014</v>
      </c>
      <c r="E46">
        <v>6.5110000000000001</v>
      </c>
      <c r="F46">
        <v>1.175</v>
      </c>
      <c r="G46">
        <v>1.5349999999999999</v>
      </c>
      <c r="H46">
        <f t="shared" si="2"/>
        <v>18.046383044079249</v>
      </c>
      <c r="I46">
        <f t="shared" si="1"/>
        <v>23.575487636307784</v>
      </c>
    </row>
    <row r="47" spans="1:9" x14ac:dyDescent="0.2">
      <c r="A47" t="s">
        <v>17</v>
      </c>
      <c r="B47" t="s">
        <v>18</v>
      </c>
      <c r="C47" t="s">
        <v>7</v>
      </c>
      <c r="D47">
        <v>2016</v>
      </c>
      <c r="E47">
        <v>8.5310000000000006</v>
      </c>
      <c r="F47">
        <v>0.40460000000000002</v>
      </c>
      <c r="G47">
        <v>6.2309999999999999</v>
      </c>
      <c r="H47">
        <f t="shared" si="2"/>
        <v>4.7427030828742227</v>
      </c>
      <c r="I47">
        <f t="shared" si="1"/>
        <v>73.039502989098565</v>
      </c>
    </row>
    <row r="48" spans="1:9" x14ac:dyDescent="0.2">
      <c r="A48" t="s">
        <v>17</v>
      </c>
      <c r="B48" t="s">
        <v>18</v>
      </c>
      <c r="C48" t="s">
        <v>7</v>
      </c>
      <c r="D48">
        <v>2018</v>
      </c>
      <c r="E48">
        <v>1332332</v>
      </c>
      <c r="F48">
        <v>2586</v>
      </c>
      <c r="G48">
        <v>1165739</v>
      </c>
      <c r="H48">
        <f t="shared" si="2"/>
        <v>0.19409576592020605</v>
      </c>
      <c r="I48">
        <f t="shared" si="1"/>
        <v>87.496134597082403</v>
      </c>
    </row>
    <row r="49" spans="1:9" x14ac:dyDescent="0.2">
      <c r="A49" t="s">
        <v>17</v>
      </c>
      <c r="B49" t="s">
        <v>18</v>
      </c>
      <c r="C49" t="s">
        <v>7</v>
      </c>
      <c r="D49">
        <v>2020</v>
      </c>
      <c r="E49">
        <v>1024182</v>
      </c>
      <c r="F49">
        <v>22633</v>
      </c>
      <c r="G49">
        <v>830261</v>
      </c>
      <c r="H49">
        <f t="shared" si="2"/>
        <v>2.2098611379618078</v>
      </c>
      <c r="I49">
        <f t="shared" si="1"/>
        <v>81.065767607710342</v>
      </c>
    </row>
    <row r="50" spans="1:9" x14ac:dyDescent="0.2">
      <c r="A50" t="s">
        <v>17</v>
      </c>
      <c r="B50" t="s">
        <v>18</v>
      </c>
      <c r="C50" t="s">
        <v>7</v>
      </c>
      <c r="D50">
        <v>2021</v>
      </c>
      <c r="E50">
        <v>1043565</v>
      </c>
      <c r="F50">
        <v>163136</v>
      </c>
      <c r="G50">
        <v>719874</v>
      </c>
      <c r="H50">
        <f t="shared" si="2"/>
        <v>15.632567209517376</v>
      </c>
      <c r="I50">
        <f t="shared" si="1"/>
        <v>68.982190855385156</v>
      </c>
    </row>
    <row r="51" spans="1:9" x14ac:dyDescent="0.2">
      <c r="A51" t="s">
        <v>19</v>
      </c>
      <c r="B51" t="s">
        <v>20</v>
      </c>
      <c r="C51" t="s">
        <v>7</v>
      </c>
      <c r="D51">
        <v>2012</v>
      </c>
      <c r="E51">
        <v>2174239</v>
      </c>
      <c r="F51">
        <v>701357</v>
      </c>
      <c r="G51">
        <v>243691</v>
      </c>
      <c r="H51">
        <f t="shared" si="2"/>
        <v>32.257585297660469</v>
      </c>
      <c r="I51">
        <f t="shared" si="1"/>
        <v>11.208105456667827</v>
      </c>
    </row>
    <row r="52" spans="1:9" x14ac:dyDescent="0.2">
      <c r="A52" t="s">
        <v>19</v>
      </c>
      <c r="B52" t="s">
        <v>20</v>
      </c>
      <c r="C52" t="s">
        <v>7</v>
      </c>
      <c r="D52">
        <v>2013</v>
      </c>
      <c r="E52">
        <v>2329172</v>
      </c>
      <c r="F52">
        <v>1333845</v>
      </c>
      <c r="G52">
        <v>145601</v>
      </c>
      <c r="H52">
        <f t="shared" si="2"/>
        <v>57.266917170565335</v>
      </c>
      <c r="I52">
        <f t="shared" si="1"/>
        <v>6.2511914105098292</v>
      </c>
    </row>
    <row r="53" spans="1:9" x14ac:dyDescent="0.2">
      <c r="A53" t="s">
        <v>19</v>
      </c>
      <c r="B53" t="s">
        <v>20</v>
      </c>
      <c r="C53" t="s">
        <v>7</v>
      </c>
      <c r="D53">
        <v>2014</v>
      </c>
      <c r="E53">
        <v>2032780</v>
      </c>
      <c r="F53">
        <v>872698</v>
      </c>
      <c r="G53">
        <v>108384</v>
      </c>
      <c r="H53">
        <f t="shared" si="2"/>
        <v>42.931256702643672</v>
      </c>
      <c r="I53">
        <f t="shared" si="1"/>
        <v>5.3318116077489934</v>
      </c>
    </row>
    <row r="54" spans="1:9" x14ac:dyDescent="0.2">
      <c r="A54" t="s">
        <v>19</v>
      </c>
      <c r="B54" t="s">
        <v>20</v>
      </c>
      <c r="C54" t="s">
        <v>7</v>
      </c>
      <c r="D54">
        <v>2015</v>
      </c>
      <c r="E54">
        <v>805986</v>
      </c>
      <c r="F54">
        <v>0</v>
      </c>
      <c r="G54">
        <v>106090</v>
      </c>
      <c r="H54">
        <f t="shared" si="2"/>
        <v>0</v>
      </c>
      <c r="I54">
        <f t="shared" si="1"/>
        <v>13.162759650912051</v>
      </c>
    </row>
    <row r="55" spans="1:9" x14ac:dyDescent="0.2">
      <c r="A55" t="s">
        <v>19</v>
      </c>
      <c r="B55" t="s">
        <v>20</v>
      </c>
      <c r="C55" t="s">
        <v>7</v>
      </c>
      <c r="D55">
        <v>2016</v>
      </c>
      <c r="E55">
        <v>2220493</v>
      </c>
      <c r="F55">
        <v>0</v>
      </c>
      <c r="G55">
        <v>455717</v>
      </c>
      <c r="H55">
        <f t="shared" si="2"/>
        <v>0</v>
      </c>
      <c r="I55">
        <f t="shared" si="1"/>
        <v>20.523235155436204</v>
      </c>
    </row>
    <row r="56" spans="1:9" x14ac:dyDescent="0.2">
      <c r="A56" t="s">
        <v>19</v>
      </c>
      <c r="B56" t="s">
        <v>20</v>
      </c>
      <c r="C56" t="s">
        <v>7</v>
      </c>
      <c r="D56">
        <v>2017</v>
      </c>
      <c r="E56">
        <v>654623</v>
      </c>
      <c r="F56">
        <v>0</v>
      </c>
      <c r="G56">
        <v>195484</v>
      </c>
      <c r="H56">
        <f t="shared" si="2"/>
        <v>0</v>
      </c>
      <c r="I56">
        <f t="shared" si="1"/>
        <v>29.862073284928879</v>
      </c>
    </row>
    <row r="57" spans="1:9" x14ac:dyDescent="0.2">
      <c r="A57" t="s">
        <v>19</v>
      </c>
      <c r="B57" t="s">
        <v>20</v>
      </c>
      <c r="C57" t="s">
        <v>7</v>
      </c>
      <c r="D57">
        <v>2018</v>
      </c>
      <c r="E57">
        <v>1532592</v>
      </c>
      <c r="F57">
        <v>0</v>
      </c>
      <c r="G57">
        <v>871256</v>
      </c>
      <c r="H57">
        <f t="shared" si="2"/>
        <v>0</v>
      </c>
      <c r="I57">
        <f t="shared" si="1"/>
        <v>56.848528505955919</v>
      </c>
    </row>
    <row r="58" spans="1:9" x14ac:dyDescent="0.2">
      <c r="A58" t="s">
        <v>19</v>
      </c>
      <c r="B58" t="s">
        <v>20</v>
      </c>
      <c r="C58" t="s">
        <v>7</v>
      </c>
      <c r="D58">
        <v>2019</v>
      </c>
      <c r="E58">
        <v>1341920</v>
      </c>
      <c r="F58">
        <v>0</v>
      </c>
      <c r="G58">
        <v>735022</v>
      </c>
      <c r="H58">
        <f t="shared" si="2"/>
        <v>0</v>
      </c>
      <c r="I58">
        <f t="shared" si="1"/>
        <v>54.773906045069751</v>
      </c>
    </row>
    <row r="59" spans="1:9" x14ac:dyDescent="0.2">
      <c r="A59" t="s">
        <v>19</v>
      </c>
      <c r="B59" t="s">
        <v>20</v>
      </c>
      <c r="C59" t="s">
        <v>7</v>
      </c>
      <c r="D59">
        <v>2020</v>
      </c>
      <c r="E59">
        <v>1019377</v>
      </c>
      <c r="F59">
        <v>0</v>
      </c>
      <c r="G59">
        <v>571626</v>
      </c>
      <c r="H59">
        <f t="shared" si="2"/>
        <v>0</v>
      </c>
      <c r="I59">
        <f t="shared" si="1"/>
        <v>56.076015056254946</v>
      </c>
    </row>
    <row r="60" spans="1:9" x14ac:dyDescent="0.2">
      <c r="A60" t="s">
        <v>19</v>
      </c>
      <c r="B60" t="s">
        <v>20</v>
      </c>
      <c r="C60" t="s">
        <v>7</v>
      </c>
      <c r="D60">
        <v>2021</v>
      </c>
      <c r="E60">
        <v>870621</v>
      </c>
      <c r="F60">
        <v>0</v>
      </c>
      <c r="G60">
        <v>424281</v>
      </c>
      <c r="H60">
        <f t="shared" si="2"/>
        <v>0</v>
      </c>
      <c r="I60">
        <f t="shared" si="1"/>
        <v>48.733145651207586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 Raimondi</dc:creator>
  <cp:lastModifiedBy>Francis David Gerraty</cp:lastModifiedBy>
  <dcterms:created xsi:type="dcterms:W3CDTF">2024-07-31T00:03:17Z</dcterms:created>
  <dcterms:modified xsi:type="dcterms:W3CDTF">2024-11-26T00:47:46Z</dcterms:modified>
</cp:coreProperties>
</file>